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domenico.munno\Desktop\Python projects\PSYGAME_ALEXA SKILL VERSION\"/>
    </mc:Choice>
  </mc:AlternateContent>
  <bookViews>
    <workbookView xWindow="0" yWindow="0" windowWidth="28800" windowHeight="11700" activeTab="1"/>
  </bookViews>
  <sheets>
    <sheet name="calculation_table" sheetId="1" r:id="rId1"/>
    <sheet name="SIMPLER_FINAL_VERSION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B10" i="2" l="1"/>
  <c r="U23" i="2"/>
  <c r="B17" i="2"/>
  <c r="P23" i="2"/>
  <c r="B16" i="2" s="1"/>
  <c r="B14" i="2"/>
  <c r="B15" i="2" s="1"/>
  <c r="B11" i="2"/>
  <c r="B13" i="2"/>
  <c r="B12" i="2"/>
  <c r="F15" i="1"/>
  <c r="F5" i="1"/>
  <c r="F2" i="2" l="1"/>
  <c r="N30" i="1"/>
  <c r="N34" i="1" s="1"/>
  <c r="F10" i="1"/>
  <c r="F9" i="1"/>
  <c r="M30" i="1"/>
  <c r="M34" i="1" s="1"/>
  <c r="M2" i="1"/>
  <c r="F7" i="1"/>
  <c r="F6" i="1"/>
  <c r="J2" i="1"/>
  <c r="D30" i="2" l="1"/>
  <c r="O30" i="1"/>
  <c r="O34" i="1" s="1"/>
  <c r="I10" i="1"/>
  <c r="Q30" i="1" s="1"/>
  <c r="P30" i="1"/>
  <c r="P31" i="1" s="1"/>
  <c r="O31" i="1"/>
  <c r="N33" i="1"/>
  <c r="N31" i="1"/>
  <c r="N32" i="1"/>
  <c r="M32" i="1"/>
  <c r="M31" i="1"/>
  <c r="M33" i="1"/>
  <c r="F8" i="1"/>
  <c r="F2" i="1" s="1"/>
  <c r="O33" i="1" l="1"/>
  <c r="O32" i="1"/>
  <c r="F14" i="1"/>
  <c r="P34" i="1"/>
  <c r="Q34" i="1"/>
  <c r="Q33" i="1"/>
  <c r="Q32" i="1"/>
  <c r="Q31" i="1"/>
  <c r="R31" i="1" s="1"/>
  <c r="P32" i="1"/>
  <c r="P33" i="1"/>
  <c r="F3" i="1"/>
  <c r="R34" i="1" l="1"/>
  <c r="R32" i="1"/>
  <c r="R33" i="1"/>
  <c r="F17" i="1" l="1"/>
  <c r="H17" i="1" s="1"/>
  <c r="F21" i="1" s="1"/>
</calcChain>
</file>

<file path=xl/sharedStrings.xml><?xml version="1.0" encoding="utf-8"?>
<sst xmlns="http://schemas.openxmlformats.org/spreadsheetml/2006/main" count="90" uniqueCount="52">
  <si>
    <t>m</t>
  </si>
  <si>
    <t>cs</t>
  </si>
  <si>
    <t>ct</t>
  </si>
  <si>
    <t>a.coe</t>
  </si>
  <si>
    <t>t.coeff</t>
  </si>
  <si>
    <t>app</t>
  </si>
  <si>
    <t>ag</t>
  </si>
  <si>
    <t>dr</t>
  </si>
  <si>
    <t>lo</t>
  </si>
  <si>
    <t>po</t>
  </si>
  <si>
    <t>sex coef</t>
  </si>
  <si>
    <t>game diff</t>
  </si>
  <si>
    <t>menplustr</t>
  </si>
  <si>
    <t>menplutr</t>
  </si>
  <si>
    <t>appcoefM:</t>
  </si>
  <si>
    <t>appcoefF</t>
  </si>
  <si>
    <t>menorwomcpp</t>
  </si>
  <si>
    <t>ctopic</t>
  </si>
  <si>
    <t>final top change</t>
  </si>
  <si>
    <t>previous stress coeff</t>
  </si>
  <si>
    <t>previous trust coeff</t>
  </si>
  <si>
    <t>stress</t>
  </si>
  <si>
    <t>trust</t>
  </si>
  <si>
    <t>age</t>
  </si>
  <si>
    <t>sex</t>
  </si>
  <si>
    <t>love</t>
  </si>
  <si>
    <t>work</t>
  </si>
  <si>
    <t>friends</t>
  </si>
  <si>
    <t>family</t>
  </si>
  <si>
    <t>diff</t>
  </si>
  <si>
    <t>corretti per modifier</t>
  </si>
  <si>
    <t>a coef</t>
  </si>
  <si>
    <t>EXAMPLE BOY</t>
  </si>
  <si>
    <t>st coef</t>
  </si>
  <si>
    <t>tr_coef</t>
  </si>
  <si>
    <t>f</t>
  </si>
  <si>
    <t>extr coef</t>
  </si>
  <si>
    <t>stress rules</t>
  </si>
  <si>
    <t>trust rules</t>
  </si>
  <si>
    <t>approach</t>
  </si>
  <si>
    <t>moltiplicatore stress</t>
  </si>
  <si>
    <t>moltiplicatore trust</t>
  </si>
  <si>
    <t>accelleratore estremi</t>
  </si>
  <si>
    <t>addiz. Livello stress</t>
  </si>
  <si>
    <t>addiz. Livello trust</t>
  </si>
  <si>
    <t>DISTANZA STR/TR</t>
  </si>
  <si>
    <t>AGMOD maschio</t>
  </si>
  <si>
    <t>AGMOD femmina</t>
  </si>
  <si>
    <t>tpchange</t>
  </si>
  <si>
    <t>Maschi</t>
  </si>
  <si>
    <t>Femmine</t>
  </si>
  <si>
    <t>addizionale stress/trust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</si>
</sst>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4</xdr:row>
          <xdr:rowOff>28575</xdr:rowOff>
        </xdr:from>
        <xdr:to>
          <xdr:col>21</xdr:col>
          <xdr:colOff>95250</xdr:colOff>
          <xdr:row>6</xdr:row>
          <xdr:rowOff>190500</xdr:rowOff>
        </xdr:to>
        <xdr:sp macro="" textlink="">
          <xdr:nvSpPr>
            <xdr:cNvPr id="1025" name="A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9</xdr:row>
          <xdr:rowOff>9525</xdr:rowOff>
        </xdr:from>
        <xdr:to>
          <xdr:col>21</xdr:col>
          <xdr:colOff>76200</xdr:colOff>
          <xdr:row>11</xdr:row>
          <xdr:rowOff>171450</xdr:rowOff>
        </xdr:to>
        <xdr:sp macro="" textlink="">
          <xdr:nvSpPr>
            <xdr:cNvPr id="1085" name="DR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14</xdr:row>
          <xdr:rowOff>28575</xdr:rowOff>
        </xdr:from>
        <xdr:to>
          <xdr:col>21</xdr:col>
          <xdr:colOff>95250</xdr:colOff>
          <xdr:row>17</xdr:row>
          <xdr:rowOff>0</xdr:rowOff>
        </xdr:to>
        <xdr:sp macro="" textlink="">
          <xdr:nvSpPr>
            <xdr:cNvPr id="1086" name="LO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19</xdr:row>
          <xdr:rowOff>38100</xdr:rowOff>
        </xdr:from>
        <xdr:to>
          <xdr:col>21</xdr:col>
          <xdr:colOff>85725</xdr:colOff>
          <xdr:row>22</xdr:row>
          <xdr:rowOff>9525</xdr:rowOff>
        </xdr:to>
        <xdr:sp macro="" textlink="">
          <xdr:nvSpPr>
            <xdr:cNvPr id="1087" name="PO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R34"/>
  <sheetViews>
    <sheetView workbookViewId="0">
      <selection activeCell="F7" sqref="F7"/>
    </sheetView>
  </sheetViews>
  <sheetFormatPr defaultRowHeight="15" x14ac:dyDescent="0.25"/>
  <cols>
    <col min="5" max="5" width="19.5703125" bestFit="1" customWidth="1"/>
    <col min="9" max="9" width="9.42578125" customWidth="1"/>
  </cols>
  <sheetData>
    <row r="1" spans="1:17" x14ac:dyDescent="0.25">
      <c r="A1" t="s">
        <v>21</v>
      </c>
      <c r="B1">
        <v>-13.049836325547872</v>
      </c>
    </row>
    <row r="2" spans="1:17" x14ac:dyDescent="0.25">
      <c r="A2" t="s">
        <v>22</v>
      </c>
      <c r="B2">
        <v>-14.719920636169011</v>
      </c>
      <c r="E2" t="s">
        <v>3</v>
      </c>
      <c r="F2">
        <f>0.04+F5+(F8*-1)</f>
        <v>0.89000000000000012</v>
      </c>
      <c r="I2" t="s">
        <v>14</v>
      </c>
      <c r="J2">
        <f>IF(F4="ag",J3,IF(F4="dr",J4,IF(F4="lo",J5,J6)))</f>
        <v>-0.02</v>
      </c>
      <c r="L2" t="s">
        <v>15</v>
      </c>
      <c r="M2">
        <f>IF(F4="ag",M3,IF(F4="dr",M4,IF(F4="lo",M5,M6)))</f>
        <v>-0.05</v>
      </c>
      <c r="P2" t="s">
        <v>11</v>
      </c>
      <c r="Q2">
        <v>4</v>
      </c>
    </row>
    <row r="3" spans="1:17" x14ac:dyDescent="0.25">
      <c r="A3" t="s">
        <v>23</v>
      </c>
      <c r="B3">
        <v>50</v>
      </c>
      <c r="E3" t="s">
        <v>4</v>
      </c>
      <c r="F3">
        <f>(F5*3)+(1/B3)+(F8*-1)</f>
        <v>2.4700000000000002</v>
      </c>
      <c r="I3" t="s">
        <v>6</v>
      </c>
      <c r="J3">
        <v>-0.02</v>
      </c>
      <c r="L3" t="s">
        <v>6</v>
      </c>
      <c r="M3">
        <v>-0.05</v>
      </c>
    </row>
    <row r="4" spans="1:17" x14ac:dyDescent="0.25">
      <c r="A4" t="s">
        <v>24</v>
      </c>
      <c r="B4" t="s">
        <v>35</v>
      </c>
      <c r="E4" t="s">
        <v>5</v>
      </c>
      <c r="F4" t="s">
        <v>6</v>
      </c>
      <c r="I4" t="s">
        <v>7</v>
      </c>
      <c r="J4">
        <v>0.02</v>
      </c>
      <c r="L4" t="s">
        <v>7</v>
      </c>
      <c r="M4">
        <v>0.02</v>
      </c>
    </row>
    <row r="5" spans="1:17" x14ac:dyDescent="0.25">
      <c r="A5" t="s">
        <v>25</v>
      </c>
      <c r="B5">
        <v>-5</v>
      </c>
      <c r="E5" t="s">
        <v>10</v>
      </c>
      <c r="F5">
        <f>IF(B4="m",0.3,0.8)</f>
        <v>0.8</v>
      </c>
      <c r="I5" t="s">
        <v>8</v>
      </c>
      <c r="J5">
        <v>-0.02</v>
      </c>
      <c r="L5" t="s">
        <v>8</v>
      </c>
      <c r="M5">
        <v>0.08</v>
      </c>
    </row>
    <row r="6" spans="1:17" x14ac:dyDescent="0.25">
      <c r="A6" t="s">
        <v>26</v>
      </c>
      <c r="B6">
        <v>5</v>
      </c>
      <c r="E6" t="s">
        <v>12</v>
      </c>
      <c r="F6">
        <f>IF(OR(F4="dr",F4="ag"),1,-1)</f>
        <v>1</v>
      </c>
      <c r="I6" t="s">
        <v>9</v>
      </c>
      <c r="J6">
        <v>0.05</v>
      </c>
      <c r="L6" t="s">
        <v>9</v>
      </c>
      <c r="M6">
        <v>0.05</v>
      </c>
    </row>
    <row r="7" spans="1:17" x14ac:dyDescent="0.25">
      <c r="A7" t="s">
        <v>27</v>
      </c>
      <c r="B7">
        <v>0</v>
      </c>
      <c r="E7" t="s">
        <v>13</v>
      </c>
      <c r="F7">
        <f>IF(OR(F4="lo",F4="ag"),-1,1)</f>
        <v>-1</v>
      </c>
    </row>
    <row r="8" spans="1:17" x14ac:dyDescent="0.25">
      <c r="A8" t="s">
        <v>28</v>
      </c>
      <c r="B8">
        <v>10</v>
      </c>
      <c r="E8" t="s">
        <v>16</v>
      </c>
      <c r="F8">
        <f>IF(B4="m",J2,M2)</f>
        <v>-0.05</v>
      </c>
    </row>
    <row r="9" spans="1:17" x14ac:dyDescent="0.25">
      <c r="B9">
        <v>0</v>
      </c>
      <c r="E9" t="s">
        <v>19</v>
      </c>
      <c r="F9">
        <f>((B1-15)/(-15-15))</f>
        <v>0.93499454418492911</v>
      </c>
    </row>
    <row r="10" spans="1:17" x14ac:dyDescent="0.25">
      <c r="B10">
        <v>0</v>
      </c>
      <c r="E10" t="s">
        <v>20</v>
      </c>
      <c r="F10">
        <f>((B2-15)/(15-(-15)))</f>
        <v>-0.99066402120563368</v>
      </c>
      <c r="H10" t="s">
        <v>29</v>
      </c>
      <c r="I10">
        <f>F9-F10</f>
        <v>1.9256585653905627</v>
      </c>
    </row>
    <row r="14" spans="1:17" x14ac:dyDescent="0.25">
      <c r="E14" t="s">
        <v>1</v>
      </c>
      <c r="F14">
        <f>((Q2*F2)*F6)-I10</f>
        <v>1.6343414346094378</v>
      </c>
    </row>
    <row r="15" spans="1:17" x14ac:dyDescent="0.25">
      <c r="E15" t="s">
        <v>2</v>
      </c>
      <c r="F15">
        <f>((Q2*F3)*F7)-I10</f>
        <v>-11.805658565390564</v>
      </c>
    </row>
    <row r="17" spans="5:18" x14ac:dyDescent="0.25">
      <c r="E17" t="s">
        <v>17</v>
      </c>
      <c r="F17">
        <f>(F14-F15)</f>
        <v>13.440000000000001</v>
      </c>
      <c r="H17">
        <f>F17+I10</f>
        <v>15.365658565390564</v>
      </c>
    </row>
    <row r="21" spans="5:18" x14ac:dyDescent="0.25">
      <c r="E21" t="s">
        <v>18</v>
      </c>
      <c r="F21">
        <f>F17+IF(H17&gt;0,Q2,-Q2)</f>
        <v>17.440000000000001</v>
      </c>
    </row>
    <row r="26" spans="5:18" x14ac:dyDescent="0.25">
      <c r="L26" s="2" t="s">
        <v>32</v>
      </c>
      <c r="M26" s="2"/>
      <c r="N26" s="2"/>
      <c r="O26" s="2"/>
      <c r="P26" s="2"/>
    </row>
    <row r="27" spans="5:18" x14ac:dyDescent="0.25">
      <c r="L27" s="2"/>
      <c r="M27" s="2"/>
      <c r="N27" s="2"/>
      <c r="O27" s="2"/>
      <c r="P27" s="2"/>
    </row>
    <row r="29" spans="5:18" x14ac:dyDescent="0.25">
      <c r="M29" t="s">
        <v>31</v>
      </c>
      <c r="N29" t="s">
        <v>10</v>
      </c>
      <c r="O29" t="s">
        <v>33</v>
      </c>
      <c r="P29" t="s">
        <v>34</v>
      </c>
      <c r="Q29" t="s">
        <v>36</v>
      </c>
    </row>
    <row r="30" spans="5:18" x14ac:dyDescent="0.25">
      <c r="M30">
        <f>(B3-20)/(100-20)</f>
        <v>0.375</v>
      </c>
      <c r="N30">
        <f>F5</f>
        <v>0.8</v>
      </c>
      <c r="O30">
        <f>F9</f>
        <v>0.93499454418492911</v>
      </c>
      <c r="P30">
        <f>F10</f>
        <v>-0.99066402120563368</v>
      </c>
      <c r="Q30">
        <f>I10</f>
        <v>1.9256585653905627</v>
      </c>
    </row>
    <row r="31" spans="5:18" x14ac:dyDescent="0.25">
      <c r="J31" t="s">
        <v>30</v>
      </c>
      <c r="L31" t="s">
        <v>6</v>
      </c>
      <c r="M31">
        <f>-M30</f>
        <v>-0.375</v>
      </c>
      <c r="N31">
        <f>N30</f>
        <v>0.8</v>
      </c>
      <c r="O31">
        <f>O30</f>
        <v>0.93499454418492911</v>
      </c>
      <c r="P31">
        <f>P30</f>
        <v>-0.99066402120563368</v>
      </c>
      <c r="Q31">
        <f>-Q30</f>
        <v>-1.9256585653905627</v>
      </c>
      <c r="R31">
        <f>SUM(M31:Q31)</f>
        <v>-1.5563280424112673</v>
      </c>
    </row>
    <row r="32" spans="5:18" x14ac:dyDescent="0.25">
      <c r="L32" t="s">
        <v>7</v>
      </c>
      <c r="M32">
        <f>-M30</f>
        <v>-0.375</v>
      </c>
      <c r="N32">
        <f>-N30</f>
        <v>-0.8</v>
      </c>
      <c r="O32">
        <f>O30</f>
        <v>0.93499454418492911</v>
      </c>
      <c r="P32">
        <f>-P30</f>
        <v>0.99066402120563368</v>
      </c>
      <c r="Q32">
        <f>Q30</f>
        <v>1.9256585653905627</v>
      </c>
      <c r="R32">
        <f>SUM(M32:Q32)</f>
        <v>2.6763171307811255</v>
      </c>
    </row>
    <row r="33" spans="12:18" x14ac:dyDescent="0.25">
      <c r="L33" t="s">
        <v>8</v>
      </c>
      <c r="M33">
        <f>M30</f>
        <v>0.375</v>
      </c>
      <c r="N33">
        <f>N30</f>
        <v>0.8</v>
      </c>
      <c r="O33">
        <f>-O30</f>
        <v>-0.93499454418492911</v>
      </c>
      <c r="P33">
        <f>-P30</f>
        <v>0.99066402120563368</v>
      </c>
      <c r="Q33">
        <f>-Q30</f>
        <v>-1.9256585653905627</v>
      </c>
      <c r="R33">
        <f>SUM(M33:Q33)</f>
        <v>-0.69498908836985818</v>
      </c>
    </row>
    <row r="34" spans="12:18" x14ac:dyDescent="0.25">
      <c r="L34" t="s">
        <v>9</v>
      </c>
      <c r="M34">
        <f>M30</f>
        <v>0.375</v>
      </c>
      <c r="N34">
        <f>N30</f>
        <v>0.8</v>
      </c>
      <c r="O34">
        <f>-O30</f>
        <v>-0.93499454418492911</v>
      </c>
      <c r="P34">
        <f>-P30</f>
        <v>0.99066402120563368</v>
      </c>
      <c r="Q34">
        <f>Q30</f>
        <v>1.9256585653905627</v>
      </c>
      <c r="R34">
        <f>SUM(M34:Q34)</f>
        <v>3.1563280424112672</v>
      </c>
    </row>
  </sheetData>
  <mergeCells count="1">
    <mergeCell ref="L26:P2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7" r:id="rId3" name="PO">
          <controlPr autoLine="0" r:id="rId4">
            <anchor moveWithCells="1">
              <from>
                <xdr:col>18</xdr:col>
                <xdr:colOff>47625</xdr:colOff>
                <xdr:row>19</xdr:row>
                <xdr:rowOff>38100</xdr:rowOff>
              </from>
              <to>
                <xdr:col>21</xdr:col>
                <xdr:colOff>85725</xdr:colOff>
                <xdr:row>22</xdr:row>
                <xdr:rowOff>9525</xdr:rowOff>
              </to>
            </anchor>
          </controlPr>
        </control>
      </mc:Choice>
      <mc:Fallback>
        <control shapeId="1087" r:id="rId3" name="PO"/>
      </mc:Fallback>
    </mc:AlternateContent>
    <mc:AlternateContent xmlns:mc="http://schemas.openxmlformats.org/markup-compatibility/2006">
      <mc:Choice Requires="x14">
        <control shapeId="1086" r:id="rId5" name="LO">
          <controlPr autoLine="0" r:id="rId6">
            <anchor moveWithCells="1">
              <from>
                <xdr:col>18</xdr:col>
                <xdr:colOff>57150</xdr:colOff>
                <xdr:row>14</xdr:row>
                <xdr:rowOff>28575</xdr:rowOff>
              </from>
              <to>
                <xdr:col>21</xdr:col>
                <xdr:colOff>95250</xdr:colOff>
                <xdr:row>17</xdr:row>
                <xdr:rowOff>0</xdr:rowOff>
              </to>
            </anchor>
          </controlPr>
        </control>
      </mc:Choice>
      <mc:Fallback>
        <control shapeId="1086" r:id="rId5" name="LO"/>
      </mc:Fallback>
    </mc:AlternateContent>
    <mc:AlternateContent xmlns:mc="http://schemas.openxmlformats.org/markup-compatibility/2006">
      <mc:Choice Requires="x14">
        <control shapeId="1085" r:id="rId7" name="DR">
          <controlPr autoLine="0" r:id="rId8">
            <anchor moveWithCells="1">
              <from>
                <xdr:col>18</xdr:col>
                <xdr:colOff>38100</xdr:colOff>
                <xdr:row>9</xdr:row>
                <xdr:rowOff>9525</xdr:rowOff>
              </from>
              <to>
                <xdr:col>21</xdr:col>
                <xdr:colOff>76200</xdr:colOff>
                <xdr:row>11</xdr:row>
                <xdr:rowOff>171450</xdr:rowOff>
              </to>
            </anchor>
          </controlPr>
        </control>
      </mc:Choice>
      <mc:Fallback>
        <control shapeId="1085" r:id="rId7" name="DR"/>
      </mc:Fallback>
    </mc:AlternateContent>
    <mc:AlternateContent xmlns:mc="http://schemas.openxmlformats.org/markup-compatibility/2006">
      <mc:Choice Requires="x14">
        <control shapeId="1025" r:id="rId9" name="AG">
          <controlPr autoLine="0" autoPict="0" r:id="rId10">
            <anchor moveWithCells="1">
              <from>
                <xdr:col>18</xdr:col>
                <xdr:colOff>57150</xdr:colOff>
                <xdr:row>4</xdr:row>
                <xdr:rowOff>28575</xdr:rowOff>
              </from>
              <to>
                <xdr:col>21</xdr:col>
                <xdr:colOff>95250</xdr:colOff>
                <xdr:row>6</xdr:row>
                <xdr:rowOff>190500</xdr:rowOff>
              </to>
            </anchor>
          </controlPr>
        </control>
      </mc:Choice>
      <mc:Fallback>
        <control shapeId="1025" r:id="rId9" name="A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0"/>
  <sheetViews>
    <sheetView tabSelected="1" workbookViewId="0">
      <selection activeCell="D30" sqref="D30"/>
    </sheetView>
  </sheetViews>
  <sheetFormatPr defaultRowHeight="15" x14ac:dyDescent="0.25"/>
  <cols>
    <col min="1" max="1" width="19.42578125" bestFit="1" customWidth="1"/>
    <col min="2" max="2" width="10" bestFit="1" customWidth="1"/>
  </cols>
  <sheetData>
    <row r="1" spans="1:11" x14ac:dyDescent="0.25">
      <c r="A1" t="s">
        <v>21</v>
      </c>
      <c r="B1">
        <v>14</v>
      </c>
    </row>
    <row r="2" spans="1:11" x14ac:dyDescent="0.25">
      <c r="A2" t="s">
        <v>22</v>
      </c>
      <c r="B2">
        <v>-15</v>
      </c>
      <c r="E2" t="s">
        <v>1</v>
      </c>
      <c r="F2">
        <f>(B10+B15)*B12</f>
        <v>-7</v>
      </c>
    </row>
    <row r="3" spans="1:11" x14ac:dyDescent="0.25">
      <c r="A3" t="s">
        <v>23</v>
      </c>
      <c r="B3">
        <v>30</v>
      </c>
      <c r="E3" t="s">
        <v>2</v>
      </c>
      <c r="F3">
        <f>(B11+B15)*B13</f>
        <v>2</v>
      </c>
      <c r="J3" t="s">
        <v>51</v>
      </c>
    </row>
    <row r="4" spans="1:11" x14ac:dyDescent="0.25">
      <c r="A4" t="s">
        <v>24</v>
      </c>
      <c r="B4" t="s">
        <v>0</v>
      </c>
      <c r="J4">
        <v>-15</v>
      </c>
      <c r="K4">
        <v>-3</v>
      </c>
    </row>
    <row r="5" spans="1:11" x14ac:dyDescent="0.25">
      <c r="A5" t="s">
        <v>25</v>
      </c>
      <c r="B5">
        <v>-5</v>
      </c>
      <c r="J5">
        <v>-10</v>
      </c>
      <c r="K5">
        <v>-2</v>
      </c>
    </row>
    <row r="6" spans="1:11" x14ac:dyDescent="0.25">
      <c r="A6" t="s">
        <v>26</v>
      </c>
      <c r="B6">
        <v>5</v>
      </c>
      <c r="J6">
        <v>-1</v>
      </c>
      <c r="K6">
        <v>-1</v>
      </c>
    </row>
    <row r="7" spans="1:11" x14ac:dyDescent="0.25">
      <c r="A7" t="s">
        <v>27</v>
      </c>
      <c r="B7">
        <v>0</v>
      </c>
      <c r="J7">
        <v>1</v>
      </c>
      <c r="K7">
        <v>1</v>
      </c>
    </row>
    <row r="8" spans="1:11" x14ac:dyDescent="0.25">
      <c r="A8" t="s">
        <v>28</v>
      </c>
      <c r="B8">
        <v>10</v>
      </c>
      <c r="J8">
        <v>10</v>
      </c>
      <c r="K8">
        <v>2</v>
      </c>
    </row>
    <row r="9" spans="1:11" x14ac:dyDescent="0.25">
      <c r="A9" t="s">
        <v>39</v>
      </c>
      <c r="B9" t="s">
        <v>9</v>
      </c>
      <c r="J9">
        <v>15</v>
      </c>
      <c r="K9">
        <v>3</v>
      </c>
    </row>
    <row r="10" spans="1:11" x14ac:dyDescent="0.25">
      <c r="A10" s="1" t="s">
        <v>43</v>
      </c>
      <c r="B10">
        <f>VLOOKUP(B1,J4:K9,2,TRUE)</f>
        <v>2</v>
      </c>
    </row>
    <row r="11" spans="1:11" x14ac:dyDescent="0.25">
      <c r="A11" s="1" t="s">
        <v>44</v>
      </c>
      <c r="B11">
        <f>VLOOKUP(B2,J4:K9,2,TRUE)</f>
        <v>-3</v>
      </c>
    </row>
    <row r="12" spans="1:11" x14ac:dyDescent="0.25">
      <c r="A12" t="s">
        <v>40</v>
      </c>
      <c r="B12">
        <f>VLOOKUP(B9,A21:B24,2,FALSE)</f>
        <v>-1</v>
      </c>
      <c r="J12" t="s">
        <v>42</v>
      </c>
    </row>
    <row r="13" spans="1:11" x14ac:dyDescent="0.25">
      <c r="A13" t="s">
        <v>41</v>
      </c>
      <c r="B13">
        <f>VLOOKUP(B9,C21:D24,2,FALSE)</f>
        <v>1</v>
      </c>
      <c r="J13">
        <v>0</v>
      </c>
      <c r="K13">
        <v>2</v>
      </c>
    </row>
    <row r="14" spans="1:11" x14ac:dyDescent="0.25">
      <c r="A14" t="s">
        <v>45</v>
      </c>
      <c r="B14">
        <f>ABS(B1-B2)</f>
        <v>29</v>
      </c>
      <c r="J14">
        <v>5</v>
      </c>
      <c r="K14">
        <v>3</v>
      </c>
    </row>
    <row r="15" spans="1:11" x14ac:dyDescent="0.25">
      <c r="A15" s="1" t="s">
        <v>42</v>
      </c>
      <c r="B15">
        <f>VLOOKUP(B14,J13:K16,2,TRUE)</f>
        <v>5</v>
      </c>
      <c r="J15">
        <v>15</v>
      </c>
      <c r="K15">
        <v>4</v>
      </c>
    </row>
    <row r="16" spans="1:11" x14ac:dyDescent="0.25">
      <c r="A16" s="1" t="s">
        <v>46</v>
      </c>
      <c r="B16">
        <f>VLOOKUP(B9,O26:R29,P23,FALSE)</f>
        <v>-3</v>
      </c>
      <c r="J16">
        <v>25</v>
      </c>
      <c r="K16">
        <v>5</v>
      </c>
    </row>
    <row r="17" spans="1:23" x14ac:dyDescent="0.25">
      <c r="A17" s="1" t="s">
        <v>47</v>
      </c>
      <c r="B17">
        <f>VLOOKUP(B9,T26:W29,U23,FALSE)</f>
        <v>-1</v>
      </c>
    </row>
    <row r="20" spans="1:23" x14ac:dyDescent="0.25">
      <c r="A20" t="s">
        <v>37</v>
      </c>
      <c r="C20" t="s">
        <v>38</v>
      </c>
    </row>
    <row r="21" spans="1:23" x14ac:dyDescent="0.25">
      <c r="A21" t="s">
        <v>6</v>
      </c>
      <c r="B21">
        <v>1</v>
      </c>
      <c r="C21" t="s">
        <v>6</v>
      </c>
      <c r="D21">
        <v>-1</v>
      </c>
    </row>
    <row r="22" spans="1:23" x14ac:dyDescent="0.25">
      <c r="A22" t="s">
        <v>7</v>
      </c>
      <c r="B22">
        <v>1</v>
      </c>
      <c r="C22" t="s">
        <v>7</v>
      </c>
      <c r="D22">
        <v>1</v>
      </c>
    </row>
    <row r="23" spans="1:23" x14ac:dyDescent="0.25">
      <c r="A23" t="s">
        <v>8</v>
      </c>
      <c r="B23">
        <v>-1</v>
      </c>
      <c r="C23" t="s">
        <v>8</v>
      </c>
      <c r="D23">
        <v>-1</v>
      </c>
      <c r="P23">
        <f>HLOOKUP(B3,P24:R25,2,TRUE)</f>
        <v>3</v>
      </c>
      <c r="U23">
        <f>HLOOKUP(G3,U24:W25,2,TRUE)</f>
        <v>2</v>
      </c>
    </row>
    <row r="24" spans="1:23" x14ac:dyDescent="0.25">
      <c r="A24" t="s">
        <v>9</v>
      </c>
      <c r="B24">
        <v>-1</v>
      </c>
      <c r="C24" t="s">
        <v>9</v>
      </c>
      <c r="D24">
        <v>1</v>
      </c>
      <c r="O24" t="s">
        <v>49</v>
      </c>
      <c r="P24">
        <v>0</v>
      </c>
      <c r="Q24">
        <v>25</v>
      </c>
      <c r="R24">
        <v>65</v>
      </c>
      <c r="T24" t="s">
        <v>50</v>
      </c>
      <c r="U24">
        <v>0</v>
      </c>
      <c r="V24">
        <v>25</v>
      </c>
      <c r="W24">
        <v>65</v>
      </c>
    </row>
    <row r="25" spans="1:23" x14ac:dyDescent="0.25">
      <c r="O25">
        <v>1</v>
      </c>
      <c r="P25">
        <v>2</v>
      </c>
      <c r="Q25">
        <v>3</v>
      </c>
      <c r="R25">
        <v>4</v>
      </c>
      <c r="T25">
        <v>1</v>
      </c>
      <c r="U25">
        <v>2</v>
      </c>
      <c r="V25">
        <v>3</v>
      </c>
      <c r="W25">
        <v>4</v>
      </c>
    </row>
    <row r="26" spans="1:23" x14ac:dyDescent="0.25">
      <c r="O26" t="s">
        <v>6</v>
      </c>
      <c r="P26">
        <v>-3</v>
      </c>
      <c r="Q26">
        <v>-1</v>
      </c>
      <c r="R26">
        <v>3</v>
      </c>
      <c r="T26" t="s">
        <v>6</v>
      </c>
      <c r="U26">
        <v>3</v>
      </c>
      <c r="V26">
        <v>2</v>
      </c>
      <c r="W26">
        <v>3</v>
      </c>
    </row>
    <row r="27" spans="1:23" x14ac:dyDescent="0.25">
      <c r="O27" t="s">
        <v>7</v>
      </c>
      <c r="P27">
        <v>-2</v>
      </c>
      <c r="Q27">
        <v>3</v>
      </c>
      <c r="R27">
        <v>3</v>
      </c>
      <c r="T27" t="s">
        <v>7</v>
      </c>
      <c r="U27">
        <v>0</v>
      </c>
      <c r="V27">
        <v>2</v>
      </c>
      <c r="W27">
        <v>-1</v>
      </c>
    </row>
    <row r="28" spans="1:23" x14ac:dyDescent="0.25">
      <c r="O28" t="s">
        <v>8</v>
      </c>
      <c r="P28">
        <v>0</v>
      </c>
      <c r="Q28">
        <v>-1</v>
      </c>
      <c r="R28">
        <v>-3</v>
      </c>
      <c r="T28" t="s">
        <v>8</v>
      </c>
      <c r="U28">
        <v>-3</v>
      </c>
      <c r="V28">
        <v>-2</v>
      </c>
      <c r="W28">
        <v>-3</v>
      </c>
    </row>
    <row r="29" spans="1:23" x14ac:dyDescent="0.25">
      <c r="O29" t="s">
        <v>9</v>
      </c>
      <c r="P29">
        <v>1</v>
      </c>
      <c r="Q29">
        <v>-3</v>
      </c>
      <c r="R29">
        <v>2</v>
      </c>
      <c r="T29" t="s">
        <v>9</v>
      </c>
      <c r="U29">
        <v>-1</v>
      </c>
      <c r="V29">
        <v>-3</v>
      </c>
      <c r="W29">
        <v>3</v>
      </c>
    </row>
    <row r="30" spans="1:23" x14ac:dyDescent="0.25">
      <c r="C30" t="s">
        <v>48</v>
      </c>
      <c r="D30">
        <f>F2+F3+IF(B4="m",B16,B17)</f>
        <v>-8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calculation_table</vt:lpstr>
      <vt:lpstr>SIMPLER_FINAL_VERSION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Munno, Domenico / Kuehne + Nagel / MIL ZA-TA</dc:creator>
  <cp:lastModifiedBy>Munno, Domenico / Kuehne + Nagel / MIL ZA-TA</cp:lastModifiedBy>
  <dcterms:created xsi:type="dcterms:W3CDTF">2022-08-10T09:01:52Z</dcterms:created>
  <dcterms:modified xsi:type="dcterms:W3CDTF">2022-08-11T14:05:48Z</dcterms:modified>
</cp:coreProperties>
</file>